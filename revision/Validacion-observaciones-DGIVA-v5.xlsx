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Observaciones" sheetId="2" state="visible" r:id="rId2"/>
    <sheet xmlns:r="http://schemas.openxmlformats.org/officeDocument/2006/relationships" name="Preguntas DGIVA" sheetId="3" state="visible" r:id="rId3"/>
  </sheets>
  <definedNames>
    <definedName name="_xlnm._FilterDatabase" localSheetId="1" hidden="1">'Observaciones'!$A$5:$K$37</definedName>
    <definedName name="_xlnm.Print_Titles" localSheetId="1">'Observaciones'!$5:$5</definedName>
    <definedName name="_xlnm.Print_Titles" localSheetId="2">'Preguntas DGIVA'!$5:$5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bin"/>
      <b val="1"/>
      <color rgb="009D2148"/>
      <sz val="15"/>
    </font>
    <font>
      <name val="Roboto"/>
      <i val="1"/>
      <color rgb="0055585A"/>
      <sz val="10"/>
    </font>
    <font>
      <name val="Roboto"/>
      <b val="1"/>
      <color rgb="0055585A"/>
      <sz val="10"/>
    </font>
    <font>
      <name val="Roboto"/>
      <color rgb="00000000"/>
      <sz val="10"/>
    </font>
    <font>
      <name val="Roboto"/>
      <color rgb="009D2148"/>
      <sz val="10"/>
    </font>
    <font>
      <name val="Cabin"/>
      <b val="1"/>
      <color rgb="009D2148"/>
      <sz val="11"/>
    </font>
    <font>
      <name val="Cabin"/>
      <b val="1"/>
      <color rgb="00FFFFFF"/>
      <sz val="10"/>
    </font>
    <font>
      <name val="Roboto"/>
      <b val="1"/>
      <color rgb="00000000"/>
      <sz val="10"/>
    </font>
    <font>
      <name val="Roboto"/>
      <i val="1"/>
      <color rgb="0055585A"/>
      <sz val="8"/>
    </font>
    <font>
      <name val="Roboto"/>
      <color rgb="00000000"/>
      <sz val="9"/>
    </font>
    <font>
      <name val="Roboto"/>
      <b val="1"/>
      <color rgb="009D2148"/>
      <sz val="9"/>
    </font>
    <font>
      <name val="Roboto"/>
      <b val="1"/>
      <color rgb="00000000"/>
      <sz val="9"/>
    </font>
  </fonts>
  <fills count="5">
    <fill>
      <patternFill/>
    </fill>
    <fill>
      <patternFill patternType="gray125"/>
    </fill>
    <fill>
      <patternFill patternType="solid">
        <fgColor rgb="009D2148"/>
        <bgColor rgb="009D2148"/>
      </patternFill>
    </fill>
    <fill>
      <patternFill patternType="solid">
        <fgColor rgb="00F7F1F3"/>
        <bgColor rgb="00F7F1F3"/>
      </patternFill>
    </fill>
    <fill>
      <patternFill patternType="solid">
        <fgColor rgb="00FBF6EC"/>
        <bgColor rgb="00FBF6EC"/>
      </patternFill>
    </fill>
  </fills>
  <borders count="3">
    <border>
      <left/>
      <right/>
      <top/>
      <bottom/>
      <diagonal/>
    </border>
    <border>
      <top style="medium">
        <color rgb="009D2148"/>
      </top>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2" applyAlignment="1" pivotButton="0" quotePrefix="0" xfId="0">
      <alignment horizontal="center"/>
    </xf>
    <xf numFmtId="0" fontId="4" fillId="0" borderId="2" pivotButton="0" quotePrefix="0" xfId="0"/>
    <xf numFmtId="0" fontId="4" fillId="0" borderId="2" applyAlignment="1" pivotButton="0" quotePrefix="0" xfId="0">
      <alignment horizontal="center"/>
    </xf>
    <xf numFmtId="0" fontId="4" fillId="3" borderId="2" pivotButton="0" quotePrefix="0" xfId="0"/>
    <xf numFmtId="0" fontId="4" fillId="3" borderId="2" applyAlignment="1" pivotButton="0" quotePrefix="0" xfId="0">
      <alignment horizontal="center"/>
    </xf>
    <xf numFmtId="0" fontId="8" fillId="0" borderId="2" pivotButton="0" quotePrefix="0" xfId="0"/>
    <xf numFmtId="0" fontId="8" fillId="0" borderId="2" applyAlignment="1" pivotButton="0" quotePrefix="0" xfId="0">
      <alignment horizontal="center"/>
    </xf>
    <xf numFmtId="0" fontId="4" fillId="0" borderId="0" applyAlignment="1" pivotButton="0" quotePrefix="0" xfId="0">
      <alignment vertical="top" wrapText="1"/>
    </xf>
    <xf numFmtId="0" fontId="9" fillId="0" borderId="0" applyAlignment="1" pivotButton="0" quotePrefix="0" xfId="0">
      <alignment vertical="top" wrapText="1"/>
    </xf>
    <xf numFmtId="0" fontId="7" fillId="2" borderId="2" applyAlignment="1" pivotButton="0" quotePrefix="0" xfId="0">
      <alignment horizontal="center" vertical="center" wrapText="1"/>
    </xf>
    <xf numFmtId="0" fontId="11" fillId="0" borderId="2" applyAlignment="1" pivotButton="0" quotePrefix="0" xfId="0">
      <alignment horizontal="center" vertical="top" wrapText="1"/>
    </xf>
    <xf numFmtId="0" fontId="10" fillId="0" borderId="2" applyAlignment="1" pivotButton="0" quotePrefix="0" xfId="0">
      <alignment horizontal="left" vertical="top" wrapText="1"/>
    </xf>
    <xf numFmtId="0" fontId="10" fillId="0" borderId="2" applyAlignment="1" pivotButton="0" quotePrefix="0" xfId="0">
      <alignment horizontal="center" vertical="top" wrapText="1"/>
    </xf>
    <xf numFmtId="0" fontId="10" fillId="4" borderId="2" applyAlignment="1" pivotButton="0" quotePrefix="0" xfId="0">
      <alignment horizontal="left" vertical="top" wrapText="1"/>
    </xf>
    <xf numFmtId="0" fontId="11" fillId="3" borderId="2" applyAlignment="1" pivotButton="0" quotePrefix="0" xfId="0">
      <alignment horizontal="center" vertical="top" wrapText="1"/>
    </xf>
    <xf numFmtId="0" fontId="10" fillId="3" borderId="2" applyAlignment="1" pivotButton="0" quotePrefix="0" xfId="0">
      <alignment horizontal="left" vertical="top" wrapText="1"/>
    </xf>
    <xf numFmtId="0" fontId="10" fillId="3" borderId="2" applyAlignment="1" pivotButton="0" quotePrefix="0" xfId="0">
      <alignment horizontal="center" vertical="top" wrapText="1"/>
    </xf>
    <xf numFmtId="0" fontId="9" fillId="0" borderId="0" applyAlignment="1" pivotButton="0" quotePrefix="0" xfId="0">
      <alignment wrapText="1"/>
    </xf>
    <xf numFmtId="0" fontId="12" fillId="0" borderId="2" applyAlignment="1" pivotButton="0" quotePrefix="0" xfId="0">
      <alignment horizontal="left" vertical="top" wrapText="1"/>
    </xf>
    <xf numFmtId="0" fontId="12" fillId="3" borderId="2" applyAlignment="1" pivotButton="0" quotePrefix="0" xfId="0">
      <alignment horizontal="left" vertical="top" wrapText="1"/>
    </xf>
  </cellXfs>
  <cellStyles count="1">
    <cellStyle name="Normal" xfId="0" builtinId="0" hidden="0"/>
  </cellStyles>
  <dxfs count="2">
    <dxf>
      <fill>
        <patternFill patternType="solid">
          <fgColor rgb="00FFF3CD"/>
          <bgColor rgb="00FFF3CD"/>
        </patternFill>
      </fill>
    </dxf>
    <dxf>
      <fill>
        <patternFill patternType="solid">
          <fgColor rgb="00EEEEEE"/>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demaoficina.github.io/denuncia-ambiental/" TargetMode="External" Id="rId1"/></Relationships>
</file>

<file path=xl/worksheets/sheet1.xml><?xml version="1.0" encoding="utf-8"?>
<worksheet xmlns="http://schemas.openxmlformats.org/spreadsheetml/2006/main">
  <sheetPr>
    <outlinePr summaryBelow="1" summaryRight="1"/>
    <pageSetUpPr fitToPage="1"/>
  </sheetPr>
  <dimension ref="A1:D24"/>
  <sheetViews>
    <sheetView showGridLines="0" workbookViewId="0">
      <selection activeCell="A1" sqref="A1"/>
    </sheetView>
  </sheetViews>
  <sheetFormatPr baseColWidth="8" defaultRowHeight="15"/>
  <cols>
    <col width="34" customWidth="1" min="1" max="1"/>
    <col width="16" customWidth="1" min="2" max="2"/>
    <col width="34" customWidth="1" min="3" max="3"/>
    <col width="16" customWidth="1" min="4" max="4"/>
  </cols>
  <sheetData>
    <row r="1" ht="26" customHeight="1">
      <c r="A1" s="1" t="inlineStr">
        <is>
          <t>Validación de observaciones · Formulario de Denuncia Ambiental</t>
        </is>
      </c>
    </row>
    <row r="2">
      <c r="A2" s="2" t="inlineStr">
        <is>
          <t>Secretaría del Medio Ambiente · Oficina de la Secretaría · 19 de octubre de 2026</t>
        </is>
      </c>
    </row>
    <row r="3">
      <c r="A3" s="3" t="n"/>
      <c r="B3" s="3" t="n"/>
      <c r="C3" s="3" t="n"/>
      <c r="D3" s="3" t="n"/>
    </row>
    <row r="5">
      <c r="A5" s="4" t="inlineStr">
        <is>
          <t>Versión del formulario</t>
        </is>
      </c>
      <c r="B5" s="5" t="inlineStr">
        <is>
          <t>Versión 28 · Validación DGIVA</t>
        </is>
      </c>
    </row>
    <row r="6">
      <c r="A6" s="4" t="inlineStr">
        <is>
          <t>Liga de la versión publicada</t>
        </is>
      </c>
      <c r="B6" s="6" t="inlineStr">
        <is>
          <t>https://sedemaoficina.github.io/denuncia-ambiental/</t>
        </is>
      </c>
    </row>
    <row r="7">
      <c r="A7" s="4" t="inlineStr">
        <is>
          <t>Observaciones registradas</t>
        </is>
      </c>
      <c r="B7" s="5" t="inlineStr">
        <is>
          <t>32 (19 de la Dirección General, 11 de la COJUMIVA, 1 nominal y 1 de prueba)</t>
        </is>
      </c>
    </row>
    <row r="8">
      <c r="A8" s="4" t="inlineStr">
        <is>
          <t>Periodo de revisión</t>
        </is>
      </c>
      <c r="B8" s="5" t="inlineStr">
        <is>
          <t>Del 2 al 19 de octubre de 2026</t>
        </is>
      </c>
    </row>
    <row r="10">
      <c r="A10" s="7" t="inlineStr">
        <is>
          <t>Decisión de la Secretaría</t>
        </is>
      </c>
      <c r="C10" s="7" t="inlineStr">
        <is>
          <t>Estado en la hoja de revisión</t>
        </is>
      </c>
    </row>
    <row r="11">
      <c r="A11" s="8" t="inlineStr">
        <is>
          <t>Decisión</t>
        </is>
      </c>
      <c r="B11" s="8" t="inlineStr">
        <is>
          <t>Observaciones</t>
        </is>
      </c>
      <c r="C11" s="8" t="inlineStr">
        <is>
          <t>Estado</t>
        </is>
      </c>
      <c r="D11" s="8" t="inlineStr">
        <is>
          <t>Observaciones</t>
        </is>
      </c>
    </row>
    <row r="12">
      <c r="A12" s="9" t="inlineStr">
        <is>
          <t>Aceptada</t>
        </is>
      </c>
      <c r="B12" s="10">
        <f>COUNTIF(Observaciones!$F$6:$F$37,A12)</f>
        <v/>
      </c>
      <c r="C12" s="9" t="inlineStr">
        <is>
          <t>Atendida</t>
        </is>
      </c>
      <c r="D12" s="10">
        <f>COUNTIF(Observaciones!$I$6:$I$37,C12)</f>
        <v/>
      </c>
    </row>
    <row r="13">
      <c r="A13" s="11" t="inlineStr">
        <is>
          <t>Aceptada con ajuste</t>
        </is>
      </c>
      <c r="B13" s="12">
        <f>COUNTIF(Observaciones!$F$6:$F$37,A13)</f>
        <v/>
      </c>
      <c r="C13" s="11" t="inlineStr">
        <is>
          <t>Para discusión</t>
        </is>
      </c>
      <c r="D13" s="12">
        <f>COUNTIF(Observaciones!$I$6:$I$37,C13)</f>
        <v/>
      </c>
    </row>
    <row r="14">
      <c r="A14" s="9" t="inlineStr">
        <is>
          <t>En discusión</t>
        </is>
      </c>
      <c r="B14" s="10">
        <f>COUNTIF(Observaciones!$F$6:$F$37,A14)</f>
        <v/>
      </c>
      <c r="C14" s="9" t="inlineStr">
        <is>
          <t>En revisión</t>
        </is>
      </c>
      <c r="D14" s="10">
        <f>COUNTIF(Observaciones!$I$6:$I$37,C14)</f>
        <v/>
      </c>
    </row>
    <row r="15">
      <c r="A15" s="11" t="inlineStr">
        <is>
          <t>Descartada</t>
        </is>
      </c>
      <c r="B15" s="12">
        <f>COUNTIF(Observaciones!$F$6:$F$37,A15)</f>
        <v/>
      </c>
      <c r="C15" s="11" t="inlineStr">
        <is>
          <t>Descartada</t>
        </is>
      </c>
      <c r="D15" s="12">
        <f>COUNTIF(Observaciones!$I$6:$I$37,C15)</f>
        <v/>
      </c>
    </row>
    <row r="16">
      <c r="A16" s="13" t="inlineStr">
        <is>
          <t>Total</t>
        </is>
      </c>
      <c r="B16" s="14">
        <f>SUM(B12:B15)</f>
        <v/>
      </c>
      <c r="C16" s="13" t="inlineStr">
        <is>
          <t>Total</t>
        </is>
      </c>
      <c r="D16" s="14">
        <f>SUM(D12:D15)</f>
        <v/>
      </c>
    </row>
    <row r="18">
      <c r="A18" s="7" t="inlineStr">
        <is>
          <t>Qué se pide a la DGIVA</t>
        </is>
      </c>
    </row>
    <row r="19" ht="28" customHeight="1">
      <c r="A19" s="15" t="inlineStr">
        <is>
          <t>1. En la hoja «Observaciones», revisar en cada renglón la decisión y cómo quedó el formulario.</t>
        </is>
      </c>
    </row>
    <row r="20" ht="28" customHeight="1">
      <c r="A20" s="15" t="inlineStr">
        <is>
          <t>2. Llenar las dos columnas en color crema: «Validación DGIVA» (lista: Conforme / No conforme / Con comentarios) y «Comentario DGIVA».</t>
        </is>
      </c>
    </row>
    <row r="21" ht="28" customHeight="1">
      <c r="A21" s="15" t="inlineStr">
        <is>
          <t>3. En la hoja «Preguntas DGIVA», escribir la respuesta de cada pregunta en la columna en color crema.</t>
        </is>
      </c>
    </row>
    <row r="22" ht="28" customHeight="1">
      <c r="A22" s="15" t="inlineStr">
        <is>
          <t>4. Devolver el archivo a la Oficina de la Secretaría. Con las respuestas se emite la siguiente versión y se prepara el acta de validación.</t>
        </is>
      </c>
    </row>
    <row r="24" ht="36" customHeight="1">
      <c r="A24" s="16" t="inlineStr">
        <is>
          <t>Nota: el formulario conserva el trato de «tú» en todas sus pantallas; de las propuestas redactadas en «usted» se incorporó el contenido. El identificador de la denuncia se presenta como «número de registro» para no confundirlo con las numeraciones internas de la DGIVA.</t>
        </is>
      </c>
    </row>
  </sheetData>
  <mergeCells count="11">
    <mergeCell ref="A1:D1"/>
    <mergeCell ref="B5:D5"/>
    <mergeCell ref="A22:D22"/>
    <mergeCell ref="B8:D8"/>
    <mergeCell ref="A20:D20"/>
    <mergeCell ref="A21:D21"/>
    <mergeCell ref="A24:D24"/>
    <mergeCell ref="A2:D2"/>
    <mergeCell ref="A19:D19"/>
    <mergeCell ref="B7:D7"/>
    <mergeCell ref="B6:D6"/>
  </mergeCells>
  <hyperlinks>
    <hyperlink xmlns:r="http://schemas.openxmlformats.org/officeDocument/2006/relationships" ref="B6" r:id="rId1"/>
  </hyperlinks>
  <pageMargins left="0.6" right="0.6" top="0.7" bottom="0.7" header="0.5" footer="0.5"/>
  <pageSetup orientation="portrait" paperSize="1" fitToHeight="0" fitToWidth="1"/>
  <headerFooter>
    <oddHeader>&amp;R&amp;8 &amp;K55585ASEDEMA · Oficina de la Secretaría</oddHeader>
    <oddFooter>&amp;C&amp;8 &amp;K55585APágina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3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2" customWidth="1" min="3" max="3"/>
    <col width="10" customWidth="1" min="4" max="4"/>
    <col width="42" customWidth="1" min="5" max="5"/>
    <col width="15" customWidth="1" min="6" max="6"/>
    <col width="62" customWidth="1" min="7" max="7"/>
    <col width="14" customWidth="1" min="8" max="8"/>
    <col width="14" customWidth="1" min="9" max="9"/>
    <col width="16" customWidth="1" min="10" max="10"/>
    <col width="34" customWidth="1" min="11" max="11"/>
  </cols>
  <sheetData>
    <row r="1" ht="26" customHeight="1">
      <c r="A1" s="1" t="inlineStr">
        <is>
          <t>Observaciones de la revisión y su atención</t>
        </is>
      </c>
    </row>
    <row r="2">
      <c r="A2" s="2" t="inlineStr">
        <is>
          <t>Tabla 1. Observaciones registradas en la hoja de revisión, decisión de la Secretaría y texto vigente en la versión 15.</t>
        </is>
      </c>
    </row>
    <row r="3">
      <c r="A3" s="3" t="n"/>
      <c r="B3" s="3" t="n"/>
      <c r="C3" s="3" t="n"/>
      <c r="D3" s="3" t="n"/>
      <c r="E3" s="3" t="n"/>
      <c r="F3" s="3" t="n"/>
      <c r="G3" s="3" t="n"/>
      <c r="H3" s="3" t="n"/>
      <c r="I3" s="3" t="n"/>
      <c r="J3" s="3" t="n"/>
      <c r="K3" s="3" t="n"/>
    </row>
    <row r="5" ht="32" customHeight="1">
      <c r="A5" s="17" t="inlineStr">
        <is>
          <t>ID</t>
        </is>
      </c>
      <c r="B5" s="17" t="inlineStr">
        <is>
          <t>Revisor</t>
        </is>
      </c>
      <c r="C5" s="17" t="inlineStr">
        <is>
          <t>Área</t>
        </is>
      </c>
      <c r="D5" s="17" t="inlineStr">
        <is>
          <t>Pantalla</t>
        </is>
      </c>
      <c r="E5" s="17" t="inlineStr">
        <is>
          <t>Lo que se pidió</t>
        </is>
      </c>
      <c r="F5" s="17" t="inlineStr">
        <is>
          <t>Decisión</t>
        </is>
      </c>
      <c r="G5" s="17" t="inlineStr">
        <is>
          <t>Cómo quedó en el formulario</t>
        </is>
      </c>
      <c r="H5" s="17" t="inlineStr">
        <is>
          <t>Versión</t>
        </is>
      </c>
      <c r="I5" s="17" t="inlineStr">
        <is>
          <t>Estado en la hoja</t>
        </is>
      </c>
      <c r="J5" s="17" t="inlineStr">
        <is>
          <t>Validación DGIVA</t>
        </is>
      </c>
      <c r="K5" s="17" t="inlineStr">
        <is>
          <t>Comentario DGIVA</t>
        </is>
      </c>
    </row>
    <row r="6" ht="30" customHeight="1">
      <c r="A6" s="18" t="inlineStr">
        <is>
          <t>OBS-0001</t>
        </is>
      </c>
      <c r="B6" s="19" t="inlineStr">
        <is>
          <t>Benjamín</t>
        </is>
      </c>
      <c r="C6" s="20" t="inlineStr">
        <is>
          <t>DGIVA</t>
        </is>
      </c>
      <c r="D6" s="20" t="inlineStr">
        <is>
          <t>Portada</t>
        </is>
      </c>
      <c r="E6" s="19" t="inlineStr">
        <is>
          <t>Cambiar «En persona» por «Presencial».</t>
        </is>
      </c>
      <c r="F6" s="20" t="inlineStr">
        <is>
          <t>Aceptada</t>
        </is>
      </c>
      <c r="G6" s="19" t="inlineStr">
        <is>
          <t>Se cambió «En persona» por «Presencial» en la portada; el pie y la pantalla del límite de envíos dicen «de forma presencial».</t>
        </is>
      </c>
      <c r="H6" s="20" t="inlineStr">
        <is>
          <t>DEC-188</t>
        </is>
      </c>
      <c r="I6" s="20" t="inlineStr">
        <is>
          <t>Atendida</t>
        </is>
      </c>
      <c r="J6" s="21" t="n"/>
      <c r="K6" s="21" t="n"/>
    </row>
    <row r="7" ht="30" customHeight="1">
      <c r="A7" s="22" t="inlineStr">
        <is>
          <t>OBS-0002</t>
        </is>
      </c>
      <c r="B7" s="23" t="inlineStr">
        <is>
          <t>Dirección General</t>
        </is>
      </c>
      <c r="C7" s="24" t="inlineStr">
        <is>
          <t>DGIVA</t>
        </is>
      </c>
      <c r="D7" s="24" t="inlineStr">
        <is>
          <t>Portada</t>
        </is>
      </c>
      <c r="E7" s="23" t="inlineStr">
        <is>
          <t>Usar «derribo», término de la norma, en lugar de «tala».</t>
        </is>
      </c>
      <c r="F7" s="24" t="inlineStr">
        <is>
          <t>Aceptada</t>
        </is>
      </c>
      <c r="G7" s="23" t="inlineStr">
        <is>
          <t>Se usa «derribo» en lugar de «tala» en la entrada de la portada, en los ejemplos de hechos y en la tarjeta «Derribo o desmonte de vegetación».</t>
        </is>
      </c>
      <c r="H7" s="24" t="inlineStr">
        <is>
          <t>DEC-188</t>
        </is>
      </c>
      <c r="I7" s="24" t="inlineStr">
        <is>
          <t>Atendida</t>
        </is>
      </c>
      <c r="J7" s="21" t="n"/>
      <c r="K7" s="21" t="n"/>
    </row>
    <row r="8" ht="30" customHeight="1">
      <c r="A8" s="18" t="inlineStr">
        <is>
          <t>OBS-0003</t>
        </is>
      </c>
      <c r="B8" s="19" t="inlineStr">
        <is>
          <t>Dirección General</t>
        </is>
      </c>
      <c r="C8" s="20" t="inlineStr">
        <is>
          <t>DGIVA</t>
        </is>
      </c>
      <c r="D8" s="20" t="inlineStr">
        <is>
          <t>Paso 1</t>
        </is>
      </c>
      <c r="E8" s="19" t="inlineStr">
        <is>
          <t>Quitar «olores» de la tarjeta de emisiones: no hay marco jurídico para atenderlos.</t>
        </is>
      </c>
      <c r="F8" s="20" t="inlineStr">
        <is>
          <t>Aceptada</t>
        </is>
      </c>
      <c r="G8" s="19" t="inlineStr">
        <is>
          <t>Se retiró «olores» de la tarjeta de emisiones. Los olores se orientan ahora en «Mi caso no está en la lista».</t>
        </is>
      </c>
      <c r="H8" s="20" t="inlineStr">
        <is>
          <t>DEC-188</t>
        </is>
      </c>
      <c r="I8" s="20" t="inlineStr">
        <is>
          <t>Atendida</t>
        </is>
      </c>
      <c r="J8" s="21" t="n"/>
      <c r="K8" s="21" t="n"/>
    </row>
    <row r="9" ht="78" customHeight="1">
      <c r="A9" s="22" t="inlineStr">
        <is>
          <t>OBS-0004</t>
        </is>
      </c>
      <c r="B9" s="23" t="inlineStr">
        <is>
          <t>Dirección General</t>
        </is>
      </c>
      <c r="C9" s="24" t="inlineStr">
        <is>
          <t>DGIVA</t>
        </is>
      </c>
      <c r="D9" s="24" t="inlineStr">
        <is>
          <t>Paso 1</t>
        </is>
      </c>
      <c r="E9" s="23" t="inlineStr">
        <is>
          <t>Quitar «olores», «anuncios», «de un negocio» y «luz excesiva» de la tarjeta de ruido; limitarla a fuentes fijas en materia de industria.</t>
        </is>
      </c>
      <c r="F9" s="24" t="inlineStr">
        <is>
          <t>En discusión</t>
        </is>
      </c>
      <c r="G9" s="23" t="inlineStr">
        <is>
          <t>Aplicado con lo que confirmó la DGIVA: la tarjeta queda «Ruido o vibraciones · De una industria o fábrica» y salen olores, anuncios, luz excesiva y «de un negocio». El ruido de comercios, bares, restaurantes y salones se orienta al INVEA en «Mi caso no está en la lista». Olores, anuncios y luz excesiva tampoco se orientan a otra autoridad: no hay norma aplicable que permita decir a dónde acudir, y el formulario no los menciona (decisión del 20 oct 2026).</t>
        </is>
      </c>
      <c r="H9" s="24" t="inlineStr">
        <is>
          <t>DEC-190, DEC-222</t>
        </is>
      </c>
      <c r="I9" s="24" t="inlineStr">
        <is>
          <t>Atendida</t>
        </is>
      </c>
      <c r="J9" s="21" t="n"/>
      <c r="K9" s="21" t="n"/>
    </row>
    <row r="10" ht="30" customHeight="1">
      <c r="A10" s="18" t="inlineStr">
        <is>
          <t>OBS-0005</t>
        </is>
      </c>
      <c r="B10" s="19" t="inlineStr">
        <is>
          <t>Dirección General</t>
        </is>
      </c>
      <c r="C10" s="20" t="inlineStr">
        <is>
          <t>DGIVA</t>
        </is>
      </c>
      <c r="D10" s="20" t="inlineStr">
        <is>
          <t>Paso 1</t>
        </is>
      </c>
      <c r="E10" s="19" t="inlineStr">
        <is>
          <t>Quitar «ruido excesivo» de la tarjeta de vehículo contaminante.</t>
        </is>
      </c>
      <c r="F10" s="20" t="inlineStr">
        <is>
          <t>Aceptada</t>
        </is>
      </c>
      <c r="G10" s="19" t="inlineStr">
        <is>
          <t>La tarjeta del vehículo dice sólo «Humo visible».</t>
        </is>
      </c>
      <c r="H10" s="20" t="inlineStr">
        <is>
          <t>DEC-188</t>
        </is>
      </c>
      <c r="I10" s="20" t="inlineStr">
        <is>
          <t>Atendida</t>
        </is>
      </c>
      <c r="J10" s="21" t="n"/>
      <c r="K10" s="21" t="n"/>
    </row>
    <row r="11" ht="30" customHeight="1">
      <c r="A11" s="22" t="inlineStr">
        <is>
          <t>OBS-0006</t>
        </is>
      </c>
      <c r="B11" s="23" t="inlineStr">
        <is>
          <t>Dirección General</t>
        </is>
      </c>
      <c r="C11" s="24" t="inlineStr">
        <is>
          <t>DGIVA</t>
        </is>
      </c>
      <c r="D11" s="24" t="inlineStr">
        <is>
          <t>Portada</t>
        </is>
      </c>
      <c r="E11" s="23" t="inlineStr">
        <is>
          <t>Cambiar «en unos diez minutos» por «solo te lleva 10 minutos».</t>
        </is>
      </c>
      <c r="F11" s="24" t="inlineStr">
        <is>
          <t>Aceptada con ajuste</t>
        </is>
      </c>
      <c r="G11" s="23" t="inlineStr">
        <is>
          <t>Se atiende junto con OBS-0017: la tarjeta «En línea» dice «Disponible las 24 horas, todos los días», sin prometer un tiempo de llenado.</t>
        </is>
      </c>
      <c r="H11" s="24" t="inlineStr">
        <is>
          <t>DEC-189</t>
        </is>
      </c>
      <c r="I11" s="24" t="inlineStr">
        <is>
          <t>Atendida</t>
        </is>
      </c>
      <c r="J11" s="21" t="n"/>
      <c r="K11" s="21" t="n"/>
    </row>
    <row r="12" ht="39" customHeight="1">
      <c r="A12" s="18" t="inlineStr">
        <is>
          <t>OBS-0007</t>
        </is>
      </c>
      <c r="B12" s="19" t="inlineStr">
        <is>
          <t>Dirección General</t>
        </is>
      </c>
      <c r="C12" s="20" t="inlineStr">
        <is>
          <t>DGIVA</t>
        </is>
      </c>
      <c r="D12" s="20" t="inlineStr">
        <is>
          <t>Portada</t>
        </is>
      </c>
      <c r="E12" s="19" t="inlineStr">
        <is>
          <t>No hablar de «oficinas» sino de unidades administrativas.</t>
        </is>
      </c>
      <c r="F12" s="20" t="inlineStr">
        <is>
          <t>Aceptada con ajuste</t>
        </is>
      </c>
      <c r="G12" s="19" t="inlineStr">
        <is>
          <t>Dice ahora «La ubicación determina qué unidad administrativa competente la atiende». También se atiende OBS-0018. Después, al simplificar los textos (DEC-220), se retiró esa viñeta: era proceso interno.</t>
        </is>
      </c>
      <c r="H12" s="20" t="inlineStr">
        <is>
          <t>DEC-188, DEC-220</t>
        </is>
      </c>
      <c r="I12" s="20" t="inlineStr">
        <is>
          <t>Atendida</t>
        </is>
      </c>
      <c r="J12" s="21" t="n"/>
      <c r="K12" s="21" t="n"/>
    </row>
    <row r="13" ht="39" customHeight="1">
      <c r="A13" s="22" t="inlineStr">
        <is>
          <t>OBS-0008</t>
        </is>
      </c>
      <c r="B13" s="23" t="inlineStr">
        <is>
          <t>Dirección General</t>
        </is>
      </c>
      <c r="C13" s="24" t="inlineStr">
        <is>
          <t>DGIVA</t>
        </is>
      </c>
      <c r="D13" s="24" t="inlineStr">
        <is>
          <t>Portada</t>
        </is>
      </c>
      <c r="E13" s="23" t="inlineStr">
        <is>
          <t>Publicar domicilio, horario y teléfono de la DGIVA.</t>
        </is>
      </c>
      <c r="F13" s="24" t="inlineStr">
        <is>
          <t>Aceptada</t>
        </is>
      </c>
      <c r="G13" s="23" t="inlineStr">
        <is>
          <t>Se publicaron el domicilio, el horario y el teléfono de la DGIVA en la portada y en el pie; el acuse ya no los marca como pendientes. Los de la DGCORENADR se publicarán cuando esa Dirección General los confirme.</t>
        </is>
      </c>
      <c r="H13" s="24" t="inlineStr">
        <is>
          <t>DEC-188</t>
        </is>
      </c>
      <c r="I13" s="24" t="inlineStr">
        <is>
          <t>Atendida</t>
        </is>
      </c>
      <c r="J13" s="21" t="n"/>
      <c r="K13" s="21" t="n"/>
    </row>
    <row r="14" ht="39" customHeight="1">
      <c r="A14" s="18" t="inlineStr">
        <is>
          <t>OBS-0009</t>
        </is>
      </c>
      <c r="B14" s="19" t="inlineStr">
        <is>
          <t>Dirección General</t>
        </is>
      </c>
      <c r="C14" s="20" t="inlineStr">
        <is>
          <t>DGIVA</t>
        </is>
      </c>
      <c r="D14" s="20" t="inlineStr">
        <is>
          <t>Paso 1</t>
        </is>
      </c>
      <c r="E14" s="19" t="inlineStr">
        <is>
          <t>Quitar los globos metálicos (algunos tienen autorización de la DGEIRA) y listar bolsas, popotes, vasos, charolas, platos, hisopos y bastoncillos.</t>
        </is>
      </c>
      <c r="F14" s="20" t="inlineStr">
        <is>
          <t>Aceptada con ajuste</t>
        </is>
      </c>
      <c r="G14" s="19" t="inlineStr">
        <is>
          <t>Se retiraron los globos. La tarjeta dice «Bolsas, popotes, vasos, charolas o platos en comercios»; la descripción y el buscador incluyen hisopos y bastoncillos.</t>
        </is>
      </c>
      <c r="H14" s="20" t="inlineStr">
        <is>
          <t>DEC-188</t>
        </is>
      </c>
      <c r="I14" s="20" t="inlineStr">
        <is>
          <t>Atendida</t>
        </is>
      </c>
      <c r="J14" s="21" t="n"/>
      <c r="K14" s="21" t="n"/>
    </row>
    <row r="15" ht="39" customHeight="1">
      <c r="A15" s="22" t="inlineStr">
        <is>
          <t>OBS-0010</t>
        </is>
      </c>
      <c r="B15" s="23" t="inlineStr">
        <is>
          <t>Dirección General</t>
        </is>
      </c>
      <c r="C15" s="24" t="inlineStr">
        <is>
          <t>DGIVA</t>
        </is>
      </c>
      <c r="D15" s="24" t="inlineStr">
        <is>
          <t>Paso 1</t>
        </is>
      </c>
      <c r="E15" s="23" t="inlineStr">
        <is>
          <t>Usar los términos de la norma: «residuos de la construcción» en lugar de «cascajo» o «escombro».</t>
        </is>
      </c>
      <c r="F15" s="24" t="inlineStr">
        <is>
          <t>Aceptada con ajuste</t>
        </is>
      </c>
      <c r="G15" s="23" t="inlineStr">
        <is>
          <t>La tarjeta dice «Depósito de residuos de la construcción · En un predio, barranca o área verde». Se conserva «barranca» porque es zona que atiende la DGIVA.</t>
        </is>
      </c>
      <c r="H15" s="24" t="inlineStr">
        <is>
          <t>DEC-188</t>
        </is>
      </c>
      <c r="I15" s="24" t="inlineStr">
        <is>
          <t>Atendida</t>
        </is>
      </c>
      <c r="J15" s="21" t="n"/>
      <c r="K15" s="21" t="n"/>
    </row>
    <row r="16" ht="52" customHeight="1">
      <c r="A16" s="18" t="inlineStr">
        <is>
          <t>OBS-0011</t>
        </is>
      </c>
      <c r="B16" s="19" t="inlineStr">
        <is>
          <t>Dirección General</t>
        </is>
      </c>
      <c r="C16" s="20" t="inlineStr">
        <is>
          <t>DGIVA</t>
        </is>
      </c>
      <c r="D16" s="20" t="inlineStr">
        <is>
          <t>Portada</t>
        </is>
      </c>
      <c r="E16" s="19" t="inlineStr">
        <is>
          <t>Quitar «ni vivir en el lugar»: en ruido la medición se hace en el punto de denuncia.</t>
        </is>
      </c>
      <c r="F16" s="20" t="inlineStr">
        <is>
          <t>Aceptada con ajuste</t>
        </is>
      </c>
      <c r="G16" s="19" t="inlineStr">
        <is>
          <t>Se conserva «ni vivir en el lugar», porque aplica a las demás materias, y se agrega: «En ruido, la medición se hace desde donde se percibe; por eso conviene que vivas o trabajes cerca». Además, en las denuncias de ruido con datos se pregunta si acepta la medición desde su domicilio (OBS-0032).</t>
        </is>
      </c>
      <c r="H16" s="20" t="inlineStr">
        <is>
          <t>DEC-194</t>
        </is>
      </c>
      <c r="I16" s="20" t="inlineStr">
        <is>
          <t>Atendida</t>
        </is>
      </c>
      <c r="J16" s="21" t="n"/>
      <c r="K16" s="21" t="n"/>
    </row>
    <row r="17" ht="78" customHeight="1">
      <c r="A17" s="22" t="inlineStr">
        <is>
          <t>OBS-0012</t>
        </is>
      </c>
      <c r="B17" s="23" t="inlineStr">
        <is>
          <t>Dirección General</t>
        </is>
      </c>
      <c r="C17" s="24" t="inlineStr">
        <is>
          <t>DGIVA</t>
        </is>
      </c>
      <c r="D17" s="24" t="inlineStr">
        <is>
          <t>Portada</t>
        </is>
      </c>
      <c r="E17" s="23" t="inlineStr">
        <is>
          <t>Señalar que los datos están protegidos por la Ley General de Protección de Datos Personales.</t>
        </is>
      </c>
      <c r="F17" s="24" t="inlineStr">
        <is>
          <t>Aceptada con ajuste</t>
        </is>
      </c>
      <c r="G17" s="23" t="inlineStr">
        <is>
          <t>Se conserva la confidencialidad («tu nombre no se hace del conocimiento de la persona o el establecimiento denunciado») y se cita la Ley de Protección de Datos Personales en Posesión de Sujetos Obligados de la Ciudad de México. La Secretaría es sujeto obligado de la Ciudad de México, de modo que la ley que rige el tratamiento y que corresponde citar en el formulario es la local; no se adopta la referencia a la Ley General.</t>
        </is>
      </c>
      <c r="H17" s="24" t="inlineStr">
        <is>
          <t>DEC-191, DEC-196</t>
        </is>
      </c>
      <c r="I17" s="24" t="inlineStr">
        <is>
          <t>Atendida</t>
        </is>
      </c>
      <c r="J17" s="21" t="n"/>
      <c r="K17" s="21" t="n"/>
    </row>
    <row r="18" ht="39" customHeight="1">
      <c r="A18" s="18" t="inlineStr">
        <is>
          <t>OBS-0013</t>
        </is>
      </c>
      <c r="B18" s="19" t="inlineStr">
        <is>
          <t>Dirección General</t>
        </is>
      </c>
      <c r="C18" s="20" t="inlineStr">
        <is>
          <t>DGIVA</t>
        </is>
      </c>
      <c r="D18" s="20" t="inlineStr">
        <is>
          <t>Paso 1</t>
        </is>
      </c>
      <c r="E18" s="19" t="inlineStr">
        <is>
          <t>Redactar «Una obra realiza un mal manejo de sus residuos de la construcción o demolición».</t>
        </is>
      </c>
      <c r="F18" s="20" t="inlineStr">
        <is>
          <t>Aceptada con ajuste</t>
        </is>
      </c>
      <c r="G18" s="19" t="inlineStr">
        <is>
          <t>La tarjeta dice «Residuos de la construcción · Mal manejo en una obra o demolición». El subtítulo de la tarjeta se limita a una línea; el nombre formal de la materia es «Residuos de la construcción y la demolición».</t>
        </is>
      </c>
      <c r="H18" s="20" t="inlineStr">
        <is>
          <t>DEC-188</t>
        </is>
      </c>
      <c r="I18" s="20" t="inlineStr">
        <is>
          <t>Atendida</t>
        </is>
      </c>
      <c r="J18" s="21" t="n"/>
      <c r="K18" s="21" t="n"/>
    </row>
    <row r="19" ht="30" customHeight="1">
      <c r="A19" s="22" t="inlineStr">
        <is>
          <t>OBS-0014</t>
        </is>
      </c>
      <c r="B19" s="23" t="inlineStr">
        <is>
          <t>Dirección General</t>
        </is>
      </c>
      <c r="C19" s="24" t="inlineStr">
        <is>
          <t>DGIVA</t>
        </is>
      </c>
      <c r="D19" s="24" t="inlineStr">
        <is>
          <t>Paso 2</t>
        </is>
      </c>
      <c r="E19" s="23" t="inlineStr">
        <is>
          <t>Cambiar «Calle o vialidad» por «Calle o avenida».</t>
        </is>
      </c>
      <c r="F19" s="24" t="inlineStr">
        <is>
          <t>Aceptada</t>
        </is>
      </c>
      <c r="G19" s="23" t="inlineStr">
        <is>
          <t>Dice «Calle o avenida», en el lugar de los hechos y en el domicilio de quien denuncia.</t>
        </is>
      </c>
      <c r="H19" s="24" t="inlineStr">
        <is>
          <t>DEC-188</t>
        </is>
      </c>
      <c r="I19" s="24" t="inlineStr">
        <is>
          <t>Atendida</t>
        </is>
      </c>
      <c r="J19" s="21" t="n"/>
      <c r="K19" s="21" t="n"/>
    </row>
    <row r="20" ht="30" customHeight="1">
      <c r="A20" s="18" t="inlineStr">
        <is>
          <t>OBS-0015</t>
        </is>
      </c>
      <c r="B20" s="19" t="inlineStr">
        <is>
          <t>Dirección General</t>
        </is>
      </c>
      <c r="C20" s="20" t="inlineStr">
        <is>
          <t>DGIVA</t>
        </is>
      </c>
      <c r="D20" s="20" t="inlineStr">
        <is>
          <t>Paso 3</t>
        </is>
      </c>
      <c r="E20" s="19" t="inlineStr">
        <is>
          <t>Ejemplos de hechos: humo, ruido, descarga, derrame, derribo, poda, tiro de residuos.</t>
        </is>
      </c>
      <c r="F20" s="20" t="inlineStr">
        <is>
          <t>Aceptada</t>
        </is>
      </c>
      <c r="G20" s="19" t="inlineStr">
        <is>
          <t>Los ejemplos del campo de hechos son ahora: humo, ruido, descarga, derrame, derribo, poda, tiro de residuos.</t>
        </is>
      </c>
      <c r="H20" s="20" t="inlineStr">
        <is>
          <t>DEC-188</t>
        </is>
      </c>
      <c r="I20" s="20" t="inlineStr">
        <is>
          <t>Atendida</t>
        </is>
      </c>
      <c r="J20" s="21" t="n"/>
      <c r="K20" s="21" t="n"/>
    </row>
    <row r="21" ht="39" customHeight="1">
      <c r="A21" s="22" t="inlineStr">
        <is>
          <t>OBS-0016</t>
        </is>
      </c>
      <c r="B21" s="23" t="inlineStr">
        <is>
          <t>Dirección General</t>
        </is>
      </c>
      <c r="C21" s="24" t="inlineStr">
        <is>
          <t>DGIVA</t>
        </is>
      </c>
      <c r="D21" s="24" t="inlineStr">
        <is>
          <t>Paso 3</t>
        </is>
      </c>
      <c r="E21" s="23" t="inlineStr">
        <is>
          <t>Permitir dar la fecha sin precisar el día exacto.</t>
        </is>
      </c>
      <c r="F21" s="24" t="inlineStr">
        <is>
          <t>En discusión</t>
        </is>
      </c>
      <c r="G21" s="23" t="inlineStr">
        <is>
          <t>El formulario pregunta «¿Conoces la fecha en que ocurrió o inició?» (DEC-206): con «Sí» se pide la fecha y la ayuda dice que puede ser aproximada (DEC-211); con «No» no se pide ninguna. Se confirmó el 20 oct 2026 que basta así.</t>
        </is>
      </c>
      <c r="H21" s="24" t="inlineStr">
        <is>
          <t>DEC-191, DEC-206, DEC-211, DEC-222</t>
        </is>
      </c>
      <c r="I21" s="24" t="inlineStr">
        <is>
          <t>Atendida</t>
        </is>
      </c>
      <c r="J21" s="21" t="n"/>
      <c r="K21" s="21" t="n"/>
    </row>
    <row r="22" ht="30" customHeight="1">
      <c r="A22" s="18" t="inlineStr">
        <is>
          <t>OBS-0017</t>
        </is>
      </c>
      <c r="B22" s="19" t="inlineStr">
        <is>
          <t>Juan Camilo Escobar Londoño</t>
        </is>
      </c>
      <c r="C22" s="20" t="inlineStr">
        <is>
          <t>COJUMIVA</t>
        </is>
      </c>
      <c r="D22" s="20" t="inlineStr">
        <is>
          <t>Portada</t>
        </is>
      </c>
      <c r="E22" s="19" t="inlineStr">
        <is>
          <t>No prometer un tiempo de llenado («diez minutos»).</t>
        </is>
      </c>
      <c r="F22" s="20" t="inlineStr">
        <is>
          <t>Aceptada</t>
        </is>
      </c>
      <c r="G22" s="19" t="inlineStr">
        <is>
          <t>La tarjeta «En línea» dice «Disponible las 24 horas, todos los días»; se retiró la promesa de tiempo.</t>
        </is>
      </c>
      <c r="H22" s="20" t="inlineStr">
        <is>
          <t>DEC-189</t>
        </is>
      </c>
      <c r="I22" s="20" t="inlineStr">
        <is>
          <t>Atendida</t>
        </is>
      </c>
      <c r="J22" s="21" t="n"/>
      <c r="K22" s="21" t="n"/>
    </row>
    <row r="23" ht="52" customHeight="1">
      <c r="A23" s="22" t="inlineStr">
        <is>
          <t>OBS-0018</t>
        </is>
      </c>
      <c r="B23" s="23" t="inlineStr">
        <is>
          <t>Juan Camilo Escobar Londoño</t>
        </is>
      </c>
      <c r="C23" s="24" t="inlineStr">
        <is>
          <t>COJUMIVA</t>
        </is>
      </c>
      <c r="D23" s="24" t="inlineStr">
        <is>
          <t>Portada</t>
        </is>
      </c>
      <c r="E23" s="23" t="inlineStr">
        <is>
          <t>Sustituir «oficina» por «Dirección General» o «unidad competente».</t>
        </is>
      </c>
      <c r="F23" s="24" t="inlineStr">
        <is>
          <t>Aceptada con ajuste</t>
        </is>
      </c>
      <c r="G23" s="23" t="inlineStr">
        <is>
          <t>Dice ahora «unidad administrativa competente» en lugar de «oficina». Se atiende junto con OBS-0007. Después, al simplificar los textos (DEC-220), los dos textos que decían «unidad administrativa» se retiraron; en ningún lugar se dice «oficina».</t>
        </is>
      </c>
      <c r="H23" s="24" t="inlineStr">
        <is>
          <t>DEC-188, DEC-220</t>
        </is>
      </c>
      <c r="I23" s="24" t="inlineStr">
        <is>
          <t>Atendida</t>
        </is>
      </c>
      <c r="J23" s="21" t="n"/>
      <c r="K23" s="21" t="n"/>
    </row>
    <row r="24" ht="104" customHeight="1">
      <c r="A24" s="18" t="inlineStr">
        <is>
          <t>OBS-0019</t>
        </is>
      </c>
      <c r="B24" s="19" t="inlineStr">
        <is>
          <t>Juan Camilo Escobar Londoño</t>
        </is>
      </c>
      <c r="C24" s="20" t="inlineStr">
        <is>
          <t>COJUMIVA</t>
        </is>
      </c>
      <c r="D24" s="20" t="inlineStr">
        <is>
          <t>Portada</t>
        </is>
      </c>
      <c r="E24" s="19" t="inlineStr">
        <is>
          <t>Reescribir la pregunta de la denuncia anónima en «usted» e incluir el envío del informe de acciones por correo.</t>
        </is>
      </c>
      <c r="F24" s="20" t="inlineStr">
        <is>
          <t>Aceptada con ajuste</t>
        </is>
      </c>
      <c r="G24" s="19" t="inlineStr">
        <is>
          <t>Se incorporó el contenido de la propuesta, en el registro de «tú» que usa todo el formulario: la Secretaría valora los hechos con el mismo rigor y el correo sirve para que la unidad administrativa que atiende la denuncia pueda ponerse en contacto. No se incluye el envío del informe de acciones por correo, porque el formulario no envía correos y no hay un plazo comprometido para informar. Después se simplificó (DEC-220): «Sí. Al final eliges presentarla anónima; sólo te pedimos un correo por si hay que aclarar algo. Se atiende con el mismo rigor.».</t>
        </is>
      </c>
      <c r="H24" s="20" t="inlineStr">
        <is>
          <t>DEC-195, DEC-220</t>
        </is>
      </c>
      <c r="I24" s="20" t="inlineStr">
        <is>
          <t>Atendida</t>
        </is>
      </c>
      <c r="J24" s="21" t="n"/>
      <c r="K24" s="21" t="n"/>
    </row>
    <row r="25" ht="91" customHeight="1">
      <c r="A25" s="22" t="inlineStr">
        <is>
          <t>OBS-0020</t>
        </is>
      </c>
      <c r="B25" s="23" t="inlineStr">
        <is>
          <t>Juan Camilo Escobar Londoño</t>
        </is>
      </c>
      <c r="C25" s="24" t="inlineStr">
        <is>
          <t>COJUMIVA</t>
        </is>
      </c>
      <c r="D25" s="24" t="inlineStr">
        <is>
          <t>Portada</t>
        </is>
      </c>
      <c r="E25" s="23" t="inlineStr">
        <is>
          <t>Ampliar los ejemplos de casos de otra autoridad: arbolado en vía pública, interior de vivienda, condominios y unidades habitacionales.</t>
        </is>
      </c>
      <c r="F25" s="24" t="inlineStr">
        <is>
          <t>En discusión</t>
        </is>
      </c>
      <c r="G25" s="23" t="inlineStr">
        <is>
          <t>No se agregan casos a «Mi caso no está en la lista». La DGIVA atiende todo el arbolado urbano en suelo urbano y en las áreas de valor ambiental. En viviendas, condominios, unidades habitacionales y vía pública, la DGIVA recibe la denuncia, realiza la inspección y, cuando el caso es de la alcaldía, se lo deriva; lo relacionado con construcción lo atiende siempre la DGIVA. Por eso el formulario recibe esos casos como competencia de la Secretaría (respuesta del 20 oct 2026).</t>
        </is>
      </c>
      <c r="H25" s="24" t="inlineStr">
        <is>
          <t>DEC-222, DEC-223</t>
        </is>
      </c>
      <c r="I25" s="24" t="inlineStr">
        <is>
          <t>Atendida</t>
        </is>
      </c>
      <c r="J25" s="21" t="n"/>
      <c r="K25" s="21" t="n"/>
    </row>
    <row r="26" ht="39" customHeight="1">
      <c r="A26" s="18" t="inlineStr">
        <is>
          <t>OBS-0021</t>
        </is>
      </c>
      <c r="B26" s="19" t="inlineStr">
        <is>
          <t>Juan Camilo Escobar Londoño</t>
        </is>
      </c>
      <c r="C26" s="20" t="inlineStr">
        <is>
          <t>COJUMIVA</t>
        </is>
      </c>
      <c r="D26" s="20" t="inlineStr">
        <is>
          <t>Portada</t>
        </is>
      </c>
      <c r="E26" s="19" t="inlineStr">
        <is>
          <t>Revisar la pregunta «¿Puedo dejarla a medias?» (sin propuesta).</t>
        </is>
      </c>
      <c r="F26" s="20" t="inlineStr">
        <is>
          <t>Aceptada</t>
        </is>
      </c>
      <c r="G26" s="19" t="inlineStr">
        <is>
          <t>Se atiende junto con OBS-0022: la respuesta dice que el avance se guarda automáticamente y advierte que se pierde si se borran el historial o los datos de navegación.</t>
        </is>
      </c>
      <c r="H26" s="20" t="inlineStr">
        <is>
          <t>DEC-195</t>
        </is>
      </c>
      <c r="I26" s="20" t="inlineStr">
        <is>
          <t>Atendida</t>
        </is>
      </c>
      <c r="J26" s="21" t="n"/>
      <c r="K26" s="21" t="n"/>
    </row>
    <row r="27" ht="39" customHeight="1">
      <c r="A27" s="22" t="inlineStr">
        <is>
          <t>OBS-0022</t>
        </is>
      </c>
      <c r="B27" s="23" t="inlineStr">
        <is>
          <t>Juan Camilo Escobar Londoño</t>
        </is>
      </c>
      <c r="C27" s="24" t="inlineStr">
        <is>
          <t>COJUMIVA</t>
        </is>
      </c>
      <c r="D27" s="24" t="inlineStr">
        <is>
          <t>Portada</t>
        </is>
      </c>
      <c r="E27" s="23" t="inlineStr">
        <is>
          <t>Reescribir «¿Puedo dejarla a medias?» en «usted» y advertir que el avance se pierde al borrar el historial.</t>
        </is>
      </c>
      <c r="F27" s="24" t="inlineStr">
        <is>
          <t>Aceptada con ajuste</t>
        </is>
      </c>
      <c r="G27" s="23" t="inlineStr">
        <is>
          <t>Se incorporó la precisión propuesta, en el registro de «tú»: el avance se guarda automáticamente y se pierde si se borran el historial o los datos de navegación.</t>
        </is>
      </c>
      <c r="H27" s="24" t="inlineStr">
        <is>
          <t>DEC-195</t>
        </is>
      </c>
      <c r="I27" s="24" t="inlineStr">
        <is>
          <t>Atendida</t>
        </is>
      </c>
      <c r="J27" s="21" t="n"/>
      <c r="K27" s="21" t="n"/>
    </row>
    <row r="28" ht="52" customHeight="1">
      <c r="A28" s="18" t="inlineStr">
        <is>
          <t>OBS-0023</t>
        </is>
      </c>
      <c r="B28" s="19" t="inlineStr">
        <is>
          <t>Juan Camilo Escobar Londoño</t>
        </is>
      </c>
      <c r="C28" s="20" t="inlineStr">
        <is>
          <t>COJUMIVA</t>
        </is>
      </c>
      <c r="D28" s="20" t="inlineStr">
        <is>
          <t>Portada</t>
        </is>
      </c>
      <c r="E28" s="19" t="inlineStr">
        <is>
          <t>No generar un folio nuevo (ya existen SAD, SUAC, SAC y AP) y mantener la denuncia ciudadana por correo.</t>
        </is>
      </c>
      <c r="F28" s="20" t="inlineStr">
        <is>
          <t>Aceptada con ajuste</t>
        </is>
      </c>
      <c r="G28" s="19" t="inlineStr">
        <is>
          <t>El identificador se presenta como «número de registro» en pantalla, en el acuse y en el PDF, para no confundirlo con las numeraciones internas (SAD, SUAC, SAC, AP). Se conserva porque permite consultar la denuncia y detectar duplicados. El correo electrónico no se ofrece como vía de presentación.</t>
        </is>
      </c>
      <c r="H28" s="20" t="inlineStr">
        <is>
          <t>DEC-191</t>
        </is>
      </c>
      <c r="I28" s="20" t="inlineStr">
        <is>
          <t>Atendida</t>
        </is>
      </c>
      <c r="J28" s="21" t="n"/>
      <c r="K28" s="21" t="n"/>
    </row>
    <row r="29" ht="39" customHeight="1">
      <c r="A29" s="22" t="inlineStr">
        <is>
          <t>OBS-0024</t>
        </is>
      </c>
      <c r="B29" s="23" t="inlineStr">
        <is>
          <t>Juan Camilo Escobar Londoño</t>
        </is>
      </c>
      <c r="C29" s="24" t="inlineStr">
        <is>
          <t>COJUMIVA</t>
        </is>
      </c>
      <c r="D29" s="24" t="inlineStr">
        <is>
          <t>Paso 3</t>
        </is>
      </c>
      <c r="E29" s="23" t="inlineStr">
        <is>
          <t>Revisar la lista de tipos de establecimiento: algunos giros no son competencia de la CIVASU (por ejemplo, «antro»).</t>
        </is>
      </c>
      <c r="F29" s="24" t="inlineStr">
        <is>
          <t>En discusión</t>
        </is>
      </c>
      <c r="G29" s="23" t="inlineStr">
        <is>
          <t>Se retiró «antro» de la lista de tipos de establecimiento: su funcionamiento es materia del INVEA (DEC-225). Pregunta para la DGIVA: ¿qué otros giros de la lista «Tipo de establecimiento» quedan fuera de la competencia de la CIVASU?</t>
        </is>
      </c>
      <c r="H29" s="24" t="inlineStr">
        <is>
          <t>DEC-225</t>
        </is>
      </c>
      <c r="I29" s="24" t="inlineStr">
        <is>
          <t>Para discusión</t>
        </is>
      </c>
      <c r="J29" s="21" t="n"/>
      <c r="K29" s="21" t="n"/>
    </row>
    <row r="30" ht="65" customHeight="1">
      <c r="A30" s="18" t="inlineStr">
        <is>
          <t>OBS-0025</t>
        </is>
      </c>
      <c r="B30" s="19" t="inlineStr">
        <is>
          <t>Juan Camilo Escobar Londoño</t>
        </is>
      </c>
      <c r="C30" s="20" t="inlineStr">
        <is>
          <t>COJUMIVA</t>
        </is>
      </c>
      <c r="D30" s="20" t="inlineStr">
        <is>
          <t>Paso 3</t>
        </is>
      </c>
      <c r="E30" s="19" t="inlineStr">
        <is>
          <t>Cuestiona la utilidad de la pregunta sobre el responsable: más del 70 % no la contesta.</t>
        </is>
      </c>
      <c r="F30" s="20" t="inlineStr">
        <is>
          <t>Aceptada con ajuste</t>
        </is>
      </c>
      <c r="G30" s="19" t="inlineStr">
        <is>
          <t>La pregunta se conserva como opcional, con sus cuatro opciones. Al elegir «una persona» o «una empresa o negocio» ya no se abre ninguna pregunta adicional. «No lo sé» conserva un campo para describir lo observado, y «una autoridad de gobierno» sus campos, necesarios para la recomendación del artículo 331. Se atiende junto con OBS-0029.</t>
        </is>
      </c>
      <c r="H30" s="20" t="inlineStr">
        <is>
          <t>DEC-193</t>
        </is>
      </c>
      <c r="I30" s="20" t="inlineStr">
        <is>
          <t>Atendida</t>
        </is>
      </c>
      <c r="J30" s="21" t="n"/>
      <c r="K30" s="21" t="n"/>
    </row>
    <row r="31" ht="30" customHeight="1">
      <c r="A31" s="22" t="inlineStr">
        <is>
          <t>OBS-0026</t>
        </is>
      </c>
      <c r="B31" s="23" t="inlineStr">
        <is>
          <t>Juan Camilo Escobar Londoño</t>
        </is>
      </c>
      <c r="C31" s="24" t="inlineStr">
        <is>
          <t>COJUMIVA</t>
        </is>
      </c>
      <c r="D31" s="24" t="inlineStr">
        <is>
          <t>Paso 3</t>
        </is>
      </c>
      <c r="E31" s="23" t="inlineStr">
        <is>
          <t>Eliminar la razón social: es redundante y obliga a consultar documentos de un tercero.</t>
        </is>
      </c>
      <c r="F31" s="24" t="inlineStr">
        <is>
          <t>Aceptada</t>
        </is>
      </c>
      <c r="G31" s="23" t="inlineStr">
        <is>
          <t>Se retiró el campo «Razón social». Se conserva el nombre comercial, que se pide en el paso anterior.</t>
        </is>
      </c>
      <c r="H31" s="24" t="inlineStr">
        <is>
          <t>DEC-188</t>
        </is>
      </c>
      <c r="I31" s="24" t="inlineStr">
        <is>
          <t>Atendida</t>
        </is>
      </c>
      <c r="J31" s="21" t="n"/>
      <c r="K31" s="21" t="n"/>
    </row>
    <row r="32" ht="39" customHeight="1">
      <c r="A32" s="18" t="inlineStr">
        <is>
          <t>OBS-0027</t>
        </is>
      </c>
      <c r="B32" s="19" t="inlineStr">
        <is>
          <t>Juan Camilo Escobar Londoño</t>
        </is>
      </c>
      <c r="C32" s="20" t="inlineStr">
        <is>
          <t>COJUMIVA</t>
        </is>
      </c>
      <c r="D32" s="20" t="inlineStr">
        <is>
          <t>Paso 3</t>
        </is>
      </c>
      <c r="E32" s="19" t="inlineStr">
        <is>
          <t>Eliminar la pregunta sobre permisos; plantea el caso de un restaurante en Los Dinamos.</t>
        </is>
      </c>
      <c r="F32" s="20" t="inlineStr">
        <is>
          <t>En discusión</t>
        </is>
      </c>
      <c r="G32" s="19" t="inlineStr">
        <is>
          <t>Se retiró la pregunta sobre permisos o autorizaciones. El caso del restaurante en Los Dinamos se turna a la DGCORENADR, como hace el cruce espacial del formulario: el punto cae en suelo de conservación (confirmado el 20 oct 2026).</t>
        </is>
      </c>
      <c r="H32" s="20" t="inlineStr">
        <is>
          <t>DEC-191 (en parte), DEC-225</t>
        </is>
      </c>
      <c r="I32" s="20" t="inlineStr">
        <is>
          <t>Atendida</t>
        </is>
      </c>
      <c r="J32" s="21" t="n"/>
      <c r="K32" s="21" t="n"/>
    </row>
    <row r="33" ht="30" customHeight="1">
      <c r="A33" s="22" t="inlineStr">
        <is>
          <t>OBS-0028</t>
        </is>
      </c>
      <c r="B33" s="23" t="inlineStr">
        <is>
          <t>Anónimo</t>
        </is>
      </c>
      <c r="C33" s="24" t="inlineStr">
        <is>
          <t>Zona protección</t>
        </is>
      </c>
      <c r="D33" s="24" t="inlineStr">
        <is>
          <t>Paso 1</t>
        </is>
      </c>
      <c r="E33" s="23" t="inlineStr">
        <is>
          <t>Registro de prueba sin contenido («Mo» / «No»).</t>
        </is>
      </c>
      <c r="F33" s="24" t="inlineStr">
        <is>
          <t>Descartada</t>
        </is>
      </c>
      <c r="G33" s="23" t="inlineStr">
        <is>
          <t>Registro de prueba sin contenido.</t>
        </is>
      </c>
      <c r="H33" s="24" t="inlineStr">
        <is>
          <t>—</t>
        </is>
      </c>
      <c r="I33" s="24" t="inlineStr">
        <is>
          <t>Descartada</t>
        </is>
      </c>
      <c r="J33" s="21" t="n"/>
      <c r="K33" s="21" t="n"/>
    </row>
    <row r="34" ht="52" customHeight="1">
      <c r="A34" s="18" t="inlineStr">
        <is>
          <t>OBS-0029</t>
        </is>
      </c>
      <c r="B34" s="19" t="inlineStr">
        <is>
          <t>Dirección General</t>
        </is>
      </c>
      <c r="C34" s="20" t="inlineStr">
        <is>
          <t>DGIVA</t>
        </is>
      </c>
      <c r="D34" s="20" t="inlineStr">
        <is>
          <t>Paso 3</t>
        </is>
      </c>
      <c r="E34" s="19" t="inlineStr">
        <is>
          <t>Responsable: dejar un campo abierto después de elegir persona, empresa o autoridad.</t>
        </is>
      </c>
      <c r="F34" s="20" t="inlineStr">
        <is>
          <t>Aceptada con ajuste</t>
        </is>
      </c>
      <c r="G34" s="19" t="inlineStr">
        <is>
          <t>Se simplificó más de lo propuesto: después de señalar si es una persona o una empresa, ya no se pide ningún dato adicional. La autoridad de gobierno conserva sus campos por el procedimiento del artículo 331. Se atiende junto con OBS-0025.</t>
        </is>
      </c>
      <c r="H34" s="20" t="inlineStr">
        <is>
          <t>DEC-193</t>
        </is>
      </c>
      <c r="I34" s="20" t="inlineStr">
        <is>
          <t>Atendida</t>
        </is>
      </c>
      <c r="J34" s="21" t="n"/>
      <c r="K34" s="21" t="n"/>
    </row>
    <row r="35" ht="30" customHeight="1">
      <c r="A35" s="22" t="inlineStr">
        <is>
          <t>OBS-0030</t>
        </is>
      </c>
      <c r="B35" s="23" t="inlineStr">
        <is>
          <t>Dirección General</t>
        </is>
      </c>
      <c r="C35" s="24" t="inlineStr">
        <is>
          <t>DGIVA</t>
        </is>
      </c>
      <c r="D35" s="24" t="inlineStr">
        <is>
          <t>Paso 3</t>
        </is>
      </c>
      <c r="E35" s="23" t="inlineStr">
        <is>
          <t>Marcar como opcional, o eliminar, «Gestiones previas».</t>
        </is>
      </c>
      <c r="F35" s="24" t="inlineStr">
        <is>
          <t>Aceptada</t>
        </is>
      </c>
      <c r="G35" s="23" t="inlineStr">
        <is>
          <t>La pregunta ya era opcional; ahora dice «(opcional)», como todos los campos no obligatorios.</t>
        </is>
      </c>
      <c r="H35" s="24" t="inlineStr">
        <is>
          <t>DEC-191</t>
        </is>
      </c>
      <c r="I35" s="24" t="inlineStr">
        <is>
          <t>Atendida</t>
        </is>
      </c>
      <c r="J35" s="21" t="n"/>
      <c r="K35" s="21" t="n"/>
    </row>
    <row r="36" ht="30" customHeight="1">
      <c r="A36" s="18" t="inlineStr">
        <is>
          <t>OBS-0031</t>
        </is>
      </c>
      <c r="B36" s="19" t="inlineStr">
        <is>
          <t>Dirección General</t>
        </is>
      </c>
      <c r="C36" s="20" t="inlineStr">
        <is>
          <t>DGIVA</t>
        </is>
      </c>
      <c r="D36" s="20" t="inlineStr">
        <is>
          <t>Paso 5</t>
        </is>
      </c>
      <c r="E36" s="19" t="inlineStr">
        <is>
          <t>Cambiar «pueda escribirte» por «pueda ponerse en contacto contigo».</t>
        </is>
      </c>
      <c r="F36" s="20" t="inlineStr">
        <is>
          <t>Aceptada</t>
        </is>
      </c>
      <c r="G36" s="19" t="inlineStr">
        <is>
          <t>Dice ahora «…para que la Secretaría pueda ponerse en contacto contigo».</t>
        </is>
      </c>
      <c r="H36" s="20" t="inlineStr">
        <is>
          <t>DEC-188</t>
        </is>
      </c>
      <c r="I36" s="20" t="inlineStr">
        <is>
          <t>Atendida</t>
        </is>
      </c>
      <c r="J36" s="21" t="n"/>
      <c r="K36" s="21" t="n"/>
    </row>
    <row r="37" ht="52" customHeight="1">
      <c r="A37" s="22" t="inlineStr">
        <is>
          <t>OBS-0032</t>
        </is>
      </c>
      <c r="B37" s="23" t="inlineStr">
        <is>
          <t>Dirección General</t>
        </is>
      </c>
      <c r="C37" s="24" t="inlineStr">
        <is>
          <t>DGIVA</t>
        </is>
      </c>
      <c r="D37" s="24" t="inlineStr">
        <is>
          <t>Paso 5</t>
        </is>
      </c>
      <c r="E37" s="23" t="inlineStr">
        <is>
          <t>En ruido, preguntar si acepta que la medición se haga en su domicilio.</t>
        </is>
      </c>
      <c r="F37" s="24" t="inlineStr">
        <is>
          <t>Aceptada</t>
        </is>
      </c>
      <c r="G37" s="23" t="inlineStr">
        <is>
          <t>En las denuncias de ruido presentadas con datos, el paso 5 pregunta «¿Aceptas que la medición del ruido se haga desde tu domicilio?». En la denuncia anónima no se pregunta y se avisa que, sin domicilio, la medición no podrá hacerse desde su casa.</t>
        </is>
      </c>
      <c r="H37" s="24" t="inlineStr">
        <is>
          <t>DEC-192</t>
        </is>
      </c>
      <c r="I37" s="24" t="inlineStr">
        <is>
          <t>Atendida</t>
        </is>
      </c>
      <c r="J37" s="21" t="n"/>
      <c r="K37" s="21" t="n"/>
    </row>
    <row r="39" ht="24" customHeight="1">
      <c r="A39" s="25" t="inlineStr">
        <is>
          <t>Fuente: hoja «Revisión · Formulario de Denuncia Ambiental» (modo revisión del formulario) y documento 05 «Decisiones y pendientes», DEC-188 a DEC-210. Nota: las columnas en color crema son para llenado de la DGIVA.</t>
        </is>
      </c>
    </row>
  </sheetData>
  <autoFilter ref="A5:K37"/>
  <mergeCells count="3">
    <mergeCell ref="A2:K2"/>
    <mergeCell ref="A39:K39"/>
    <mergeCell ref="A1:K1"/>
  </mergeCells>
  <conditionalFormatting sqref="F6:F37">
    <cfRule type="expression" priority="1" dxfId="0">
      <formula>$F6="En discusión"</formula>
    </cfRule>
    <cfRule type="expression" priority="2" dxfId="1">
      <formula>$F6="Descartada"</formula>
    </cfRule>
  </conditionalFormatting>
  <dataValidations count="1">
    <dataValidation sqref="J6:J37" showDropDown="0" showInputMessage="0" showErrorMessage="0" allowBlank="1" errorTitle="Validación DGIVA" error="Elige una opción de la lista." type="list">
      <formula1>"Conforme,No conforme,Con comentarios"</formula1>
    </dataValidation>
  </dataValidations>
  <pageMargins left="0.6" right="0.6" top="0.7" bottom="0.7" header="0.5" footer="0.5"/>
  <pageSetup orientation="landscape" paperSize="1" fitToHeight="0" fitToWidth="1"/>
  <headerFooter>
    <oddHeader>&amp;R&amp;8 &amp;K55585ASEDEMA · Oficina de la Secretaría</oddHeader>
    <oddFooter>&amp;C&amp;8 &amp;K55585APágina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0"/>
  <sheetViews>
    <sheetView showGridLines="0" workbookViewId="0">
      <pane ySplit="5" topLeftCell="A6" activePane="bottomLeft" state="frozen"/>
      <selection pane="bottomLeft" activeCell="A1" sqref="A1"/>
    </sheetView>
  </sheetViews>
  <sheetFormatPr baseColWidth="8" defaultRowHeight="15"/>
  <cols>
    <col width="6" customWidth="1" min="1" max="1"/>
    <col width="12" customWidth="1" min="2" max="2"/>
    <col width="22" customWidth="1" min="3" max="3"/>
    <col width="52" customWidth="1" min="4" max="4"/>
    <col width="58" customWidth="1" min="5" max="5"/>
    <col width="46" customWidth="1" min="6" max="6"/>
  </cols>
  <sheetData>
    <row r="1" ht="26" customHeight="1">
      <c r="A1" s="1" t="inlineStr">
        <is>
          <t>Preguntas para la DGIVA</t>
        </is>
      </c>
    </row>
    <row r="2">
      <c r="A2" s="2" t="inlineStr">
        <is>
          <t>Tabla 2. Información que la Dirección General debe confirmar para cerrar la validación.</t>
        </is>
      </c>
    </row>
    <row r="3">
      <c r="A3" s="3" t="n"/>
      <c r="B3" s="3" t="n"/>
      <c r="C3" s="3" t="n"/>
      <c r="D3" s="3" t="n"/>
      <c r="E3" s="3" t="n"/>
      <c r="F3" s="3" t="n"/>
    </row>
    <row r="5" ht="32" customHeight="1">
      <c r="A5" s="17" t="inlineStr">
        <is>
          <t>No.</t>
        </is>
      </c>
      <c r="B5" s="17" t="inlineStr">
        <is>
          <t>Referencia</t>
        </is>
      </c>
      <c r="C5" s="17" t="inlineStr">
        <is>
          <t>Tema</t>
        </is>
      </c>
      <c r="D5" s="17" t="inlineStr">
        <is>
          <t>Pregunta</t>
        </is>
      </c>
      <c r="E5" s="17" t="inlineStr">
        <is>
          <t>Contexto</t>
        </is>
      </c>
      <c r="F5" s="17" t="inlineStr">
        <is>
          <t>Respuesta DGIVA</t>
        </is>
      </c>
    </row>
    <row r="6" ht="130" customHeight="1">
      <c r="A6" s="20" t="n">
        <v>1</v>
      </c>
      <c r="B6" s="20" t="inlineStr">
        <is>
          <t>OBS-0024</t>
        </is>
      </c>
      <c r="C6" s="19" t="inlineStr">
        <is>
          <t>Giros fuera de competencia</t>
        </is>
      </c>
      <c r="D6" s="26" t="inlineStr">
        <is>
          <t>¿Qué giros de la lista «Tipo de establecimiento» quedan fuera de la competencia de la CIVASU?</t>
        </is>
      </c>
      <c r="E6" s="19" t="inlineStr">
        <is>
          <t>Lista actual: obra en construcción o demolición; taller mecánico, hojalatería o pintura; industria o fábrica; bodega o almacén; restaurante, fonda o cocina económica; bar, cantina o salón de fiestas («antro» ya se retiró); tienda, abarrotes u otro comercio; panadería o tortillería; carnicería, pollería o pescadería; lavandería o tintorería; gasolinera o estación de servicio; estacionamiento o pensión; hospital, clínica, consultorio o laboratorio; escuela, oficina o edificio público; banco de materiales, mina o tiro de tierra; centro de acopio o reciclaje; vivero, granja, establo o rastro; espectáculo público, feria o evento; otro.</t>
        </is>
      </c>
      <c r="F6" s="21" t="n"/>
    </row>
    <row r="7" ht="48" customHeight="1">
      <c r="A7" s="24" t="n">
        <v>2</v>
      </c>
      <c r="B7" s="24" t="inlineStr">
        <is>
          <t>P-09</t>
        </is>
      </c>
      <c r="C7" s="23" t="inlineStr">
        <is>
          <t>Datos de la DGCORENADR</t>
        </is>
      </c>
      <c r="D7" s="27" t="inlineStr">
        <is>
          <t>Domicilio, horario de atención y teléfono de la Coordinación de Inspección Ambiental en Suelo de Conservación y Áreas Naturales Protegidas (DGCORENADR).</t>
        </is>
      </c>
      <c r="E7" s="23" t="inlineStr">
        <is>
          <t>La tarjeta «Presencial» los muestra todavía como «por confirmar».</t>
        </is>
      </c>
      <c r="F7" s="21" t="n"/>
    </row>
    <row r="8" ht="48" customHeight="1">
      <c r="A8" s="20" t="n">
        <v>3</v>
      </c>
      <c r="B8" s="20" t="inlineStr">
        <is>
          <t>P-07</t>
        </is>
      </c>
      <c r="C8" s="19" t="inlineStr">
        <is>
          <t>Plazo para informar</t>
        </is>
      </c>
      <c r="D8" s="26" t="inlineStr">
        <is>
          <t>¿En cuántos días hábiles se responde a quien consulta el estado de su denuncia?</t>
        </is>
      </c>
      <c r="E8" s="19" t="inlineStr">
        <is>
          <t>El Manual Administrativo fija los plazos del procedimiento, pero no el de informar a la persona denunciante.</t>
        </is>
      </c>
      <c r="F8" s="21" t="n"/>
    </row>
    <row r="10" ht="24" customHeight="1">
      <c r="A10" s="25" t="inlineStr">
        <is>
          <t>Nota: P-07 y P-09 son preguntas abiertas del documento 05 del proyecto; las demás derivan de observaciones de la revisión. La columna en color crema es para llenado de la DGIVA.</t>
        </is>
      </c>
    </row>
  </sheetData>
  <mergeCells count="3">
    <mergeCell ref="A2:F2"/>
    <mergeCell ref="A1:F1"/>
    <mergeCell ref="A10:F10"/>
  </mergeCells>
  <pageMargins left="0.6" right="0.6" top="0.7" bottom="0.7" header="0.5" footer="0.5"/>
  <pageSetup orientation="landscape" paperSize="1" fitToHeight="0" fitToWidth="1"/>
  <headerFooter>
    <oddHeader>&amp;R&amp;8 &amp;K55585ASEDEMA · Oficina de la Secretaría</oddHeader>
    <oddFooter>&amp;C&amp;8 &amp;K55585APágina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2026-10-20T20:28:30Z</dcterms:created>
  <dcterms:modified xmlns:dcterms="http://purl.org/dc/terms/" xmlns:xsi="http://www.w3.org/2001/XMLSchema-instance" xsi:type="dcterms:W3CDTF">2026-10-20T20:28:30Z</dcterms:modified>
</cp:coreProperties>
</file>